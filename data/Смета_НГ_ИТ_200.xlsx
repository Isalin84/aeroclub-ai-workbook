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мета" sheetId="1" r:id="rId1"/>
  </sheets>
  <definedNames>
    <definedName name="_xlnm.Print_Titles" localSheetId="0">Смета!$10:$10</definedName>
  </definedNames>
  <calcPr calcId="124519" fullCalcOnLoad="1"/>
</workbook>
</file>

<file path=xl/sharedStrings.xml><?xml version="1.0" encoding="utf-8"?>
<sst xmlns="http://schemas.openxmlformats.org/spreadsheetml/2006/main" count="180" uniqueCount="155">
  <si>
    <t>Проект</t>
  </si>
  <si>
    <t>Новогодний корпоратив «Полярная ночь»</t>
  </si>
  <si>
    <t>Заказчик</t>
  </si>
  <si>
    <t>Технополис Софт (IT-компания)</t>
  </si>
  <si>
    <t>Дата мероприятия</t>
  </si>
  <si>
    <t>Площадка</t>
  </si>
  <si>
    <t>Загородный комплекс, до 80 км от Москвы</t>
  </si>
  <si>
    <t>Участников, чел.</t>
  </si>
  <si>
    <t>Курс EUR на дату составления, ₽</t>
  </si>
  <si>
    <t>Дата составления сметы</t>
  </si>
  <si>
    <t>СМЕТА НА ПРОВЕДЕНИЕ МЕРОПРИЯТИЯ</t>
  </si>
  <si>
    <t>№</t>
  </si>
  <si>
    <t>Наименование</t>
  </si>
  <si>
    <t>Ед.</t>
  </si>
  <si>
    <t>Кол-во</t>
  </si>
  <si>
    <t>Цена, ₽</t>
  </si>
  <si>
    <t>Сумма, ₽</t>
  </si>
  <si>
    <t>Комментарий</t>
  </si>
  <si>
    <t>1.</t>
  </si>
  <si>
    <t>1.1</t>
  </si>
  <si>
    <t>Аренда банкетного зала (18:00–02:00)</t>
  </si>
  <si>
    <t>сутки</t>
  </si>
  <si>
    <t>Загородный комплекс, зал на 220 мест</t>
  </si>
  <si>
    <t>1.2</t>
  </si>
  <si>
    <t>Аренда зоны регистрации и кулуаров</t>
  </si>
  <si>
    <t>1.3</t>
  </si>
  <si>
    <t>Проживание команды организаторов и артистов</t>
  </si>
  <si>
    <t>номер/ночь</t>
  </si>
  <si>
    <t>Ночь с 25 на 26 декабря</t>
  </si>
  <si>
    <t>1.4</t>
  </si>
  <si>
    <t>Технический сбор площадки (электричество, уборка)</t>
  </si>
  <si>
    <t>усл.</t>
  </si>
  <si>
    <t>1.5</t>
  </si>
  <si>
    <t>Охрана и парковка</t>
  </si>
  <si>
    <t>Итого: Площадка</t>
  </si>
  <si>
    <t>2.</t>
  </si>
  <si>
    <t>Кейтеринг</t>
  </si>
  <si>
    <t>2.1</t>
  </si>
  <si>
    <t>Welcome-фуршет</t>
  </si>
  <si>
    <t>чел.</t>
  </si>
  <si>
    <t>Игристое, канапе, 40 минут</t>
  </si>
  <si>
    <t>2.2</t>
  </si>
  <si>
    <t>Банкет: закуски, горячее, десерт</t>
  </si>
  <si>
    <t>Банкетное меню на выбор заказчика</t>
  </si>
  <si>
    <t>2.3</t>
  </si>
  <si>
    <t>Безалкогольные напитки, вода, морсы</t>
  </si>
  <si>
    <t>2.4</t>
  </si>
  <si>
    <t>Алкоголь: вино, шампанское, крепкие напитки</t>
  </si>
  <si>
    <t>Расчёт на вечер</t>
  </si>
  <si>
    <t>2.5</t>
  </si>
  <si>
    <t>Ночной сет (кофе, снеки)</t>
  </si>
  <si>
    <t>После 00:00</t>
  </si>
  <si>
    <t>2.6</t>
  </si>
  <si>
    <t>Посуда, мебель и текстиль для банкета</t>
  </si>
  <si>
    <t>комплект</t>
  </si>
  <si>
    <t>Итого: Кейтеринг</t>
  </si>
  <si>
    <t>3.</t>
  </si>
  <si>
    <t>Техника (звук, свет, экраны)</t>
  </si>
  <si>
    <t>3.1</t>
  </si>
  <si>
    <t>Звуковой комплект (линейный массив, микрофоны)</t>
  </si>
  <si>
    <t>3.2</t>
  </si>
  <si>
    <t>Световой комплект (приборы, пульт)</t>
  </si>
  <si>
    <t>3.3</t>
  </si>
  <si>
    <t>Сценическая конструкция 8×6 м</t>
  </si>
  <si>
    <t>3.4</t>
  </si>
  <si>
    <t>Техперсонал (звук, свет, сцена)</t>
  </si>
  <si>
    <t>чел.-смена</t>
  </si>
  <si>
    <t>Монтаж, работа на мероприятии, демонтаж</t>
  </si>
  <si>
    <t>3.5</t>
  </si>
  <si>
    <t>LED-экраны, 2 шт. (презентации и видеоряд)</t>
  </si>
  <si>
    <t>Контент передаёт креативная команда</t>
  </si>
  <si>
    <t>Итого: Техника (звук, свет, экраны)</t>
  </si>
  <si>
    <t>4.</t>
  </si>
  <si>
    <t>Программа и артисты</t>
  </si>
  <si>
    <t>4.1</t>
  </si>
  <si>
    <t>Хедлайнер вечера: гонорар по договору</t>
  </si>
  <si>
    <t>выст.</t>
  </si>
  <si>
    <t>Гонорар 2 800 EUR за выступление, договор с артистом в евро</t>
  </si>
  <si>
    <t>4.2</t>
  </si>
  <si>
    <t>Ведущий вечера</t>
  </si>
  <si>
    <t>Сценарий и репетиция входят</t>
  </si>
  <si>
    <t>4.3</t>
  </si>
  <si>
    <t>DJ, ночной сет</t>
  </si>
  <si>
    <t>00:00–02:00</t>
  </si>
  <si>
    <t>4.4</t>
  </si>
  <si>
    <t>Интерактивная зона «Северное сияние»</t>
  </si>
  <si>
    <t>зона</t>
  </si>
  <si>
    <t>Проекция и игровые станции</t>
  </si>
  <si>
    <t>4.5</t>
  </si>
  <si>
    <t>Аниматоры и игровые ведущие</t>
  </si>
  <si>
    <t>Итого: Программа и артисты</t>
  </si>
  <si>
    <t>5.</t>
  </si>
  <si>
    <t>Декор</t>
  </si>
  <si>
    <t>5.1</t>
  </si>
  <si>
    <t>Тематический декор зала «Полярная ночь»</t>
  </si>
  <si>
    <t>Световые инсталляции, ткань, конструкции</t>
  </si>
  <si>
    <t>5.2</t>
  </si>
  <si>
    <t>Фотозона с брендированием</t>
  </si>
  <si>
    <t>шт.</t>
  </si>
  <si>
    <t>5.3</t>
  </si>
  <si>
    <t>Флористика: композиции на столы</t>
  </si>
  <si>
    <t>стол</t>
  </si>
  <si>
    <t>Один стол на 10 гостей</t>
  </si>
  <si>
    <t>Итого: Декор</t>
  </si>
  <si>
    <t>6.</t>
  </si>
  <si>
    <t>Трансфер</t>
  </si>
  <si>
    <t>6.1</t>
  </si>
  <si>
    <t>Место в автобусе, туда и обратно</t>
  </si>
  <si>
    <t>место</t>
  </si>
  <si>
    <t>Автобусы 50 мест, подача по списку гостей</t>
  </si>
  <si>
    <t>6.2</t>
  </si>
  <si>
    <t>Хостес-сопровождающий в автобусах</t>
  </si>
  <si>
    <t>6.3</t>
  </si>
  <si>
    <t>Парковка и платные дороги</t>
  </si>
  <si>
    <t>Итого: Трансфер</t>
  </si>
  <si>
    <t>7.</t>
  </si>
  <si>
    <t>Персонал</t>
  </si>
  <si>
    <t>7.1</t>
  </si>
  <si>
    <t>Хостес: регистрация, гардероб</t>
  </si>
  <si>
    <t>7.2</t>
  </si>
  <si>
    <t>Администраторы мероприятия</t>
  </si>
  <si>
    <t>7.3</t>
  </si>
  <si>
    <t>Фото- и видеосъёмка</t>
  </si>
  <si>
    <t>Два оператора, съёмка и нарезка</t>
  </si>
  <si>
    <t>7.4</t>
  </si>
  <si>
    <t>Координаторы агентства на площадке</t>
  </si>
  <si>
    <t>Итого: Персонал</t>
  </si>
  <si>
    <t>8.</t>
  </si>
  <si>
    <t>Полиграфия</t>
  </si>
  <si>
    <t>8.1</t>
  </si>
  <si>
    <t>Бейджи и приглашения</t>
  </si>
  <si>
    <t>8.2</t>
  </si>
  <si>
    <t>Навигация, баннеры, штендеры</t>
  </si>
  <si>
    <t>8.3</t>
  </si>
  <si>
    <t>Программа вечера и меню (печать)</t>
  </si>
  <si>
    <t>Итого: Полиграфия</t>
  </si>
  <si>
    <t>9.</t>
  </si>
  <si>
    <t>Агентское вознаграждение и НДС</t>
  </si>
  <si>
    <t>9.1</t>
  </si>
  <si>
    <t>Прямые расходы (разделы 1–8), без НДС</t>
  </si>
  <si>
    <t>Сумма итогов разделов 1–8</t>
  </si>
  <si>
    <t>9.2</t>
  </si>
  <si>
    <t>Агентское вознаграждение</t>
  </si>
  <si>
    <t>% от пр. расх.</t>
  </si>
  <si>
    <t>12% от прямых расходов; сумма указана с НДС 20% (×1,2)</t>
  </si>
  <si>
    <t>9.3</t>
  </si>
  <si>
    <t>НДС 20%</t>
  </si>
  <si>
    <t>%</t>
  </si>
  <si>
    <t>База: прямые расходы и агентское вознаграждение</t>
  </si>
  <si>
    <t>ИТОГО по смете, с НДС</t>
  </si>
  <si>
    <t>Стоимость на одного участника</t>
  </si>
  <si>
    <t>₽/чел.</t>
  </si>
  <si>
    <t>Бюджет заказчика, с НДС</t>
  </si>
  <si>
    <t>Из брифа заказчика</t>
  </si>
  <si>
    <t>Остаток бюджета (минус = превышение)</t>
  </si>
</sst>
</file>

<file path=xl/styles.xml><?xml version="1.0" encoding="utf-8"?>
<styleSheet xmlns="http://schemas.openxmlformats.org/spreadsheetml/2006/main">
  <numFmts count="5">
    <numFmt numFmtId="164" formatCode="dd.mm.yyyy"/>
    <numFmt numFmtId="165" formatCode="#,##0"/>
    <numFmt numFmtId="166" formatCode="0.00"/>
    <numFmt numFmtId="167" formatCode="#,##0\ &quot;€&quot;"/>
    <numFmt numFmtId="168" formatCode="0%"/>
  </numFmts>
  <fonts count="7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rgb="FF3A3F44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5D6C74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165" fontId="4" fillId="4" borderId="2" xfId="0" applyNumberFormat="1" applyFont="1" applyFill="1" applyBorder="1" applyAlignment="1">
      <alignment horizontal="right" vertical="center"/>
    </xf>
    <xf numFmtId="167" fontId="3" fillId="0" borderId="2" xfId="0" applyNumberFormat="1" applyFont="1" applyBorder="1" applyAlignment="1">
      <alignment horizontal="right" vertical="center"/>
    </xf>
    <xf numFmtId="168" fontId="3" fillId="0" borderId="2" xfId="0" applyNumberFormat="1" applyFont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165" fontId="6" fillId="2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8"/>
  <sheetViews>
    <sheetView tabSelected="1" workbookViewId="0">
      <pane ySplit="10" topLeftCell="A11" activePane="bottomLeft" state="frozen"/>
      <selection pane="bottomLeft"/>
    </sheetView>
  </sheetViews>
  <sheetFormatPr defaultRowHeight="15"/>
  <cols>
    <col min="1" max="1" width="6.7109375" customWidth="1"/>
    <col min="2" max="2" width="52.7109375" customWidth="1"/>
    <col min="3" max="3" width="13.7109375" customWidth="1"/>
    <col min="4" max="4" width="11.7109375" customWidth="1"/>
    <col min="5" max="5" width="14.7109375" customWidth="1"/>
    <col min="6" max="6" width="16.7109375" customWidth="1"/>
    <col min="7" max="7" width="50.7109375" customWidth="1"/>
  </cols>
  <sheetData>
    <row r="1" spans="1:7" ht="24" customHeight="1">
      <c r="A1" s="1" t="s">
        <v>10</v>
      </c>
      <c r="B1" s="1"/>
      <c r="C1" s="1"/>
      <c r="D1" s="1"/>
      <c r="E1" s="1"/>
      <c r="F1" s="1"/>
      <c r="G1" s="1"/>
    </row>
    <row r="2" spans="1:7">
      <c r="A2" s="2" t="s">
        <v>0</v>
      </c>
      <c r="B2" s="2"/>
      <c r="C2" s="3" t="s">
        <v>1</v>
      </c>
      <c r="D2" s="3"/>
      <c r="E2" s="3"/>
      <c r="F2" s="3"/>
      <c r="G2" s="3"/>
    </row>
    <row r="3" spans="1:7">
      <c r="A3" s="2" t="s">
        <v>2</v>
      </c>
      <c r="B3" s="2"/>
      <c r="C3" s="3" t="s">
        <v>3</v>
      </c>
      <c r="D3" s="3"/>
      <c r="E3" s="3"/>
      <c r="F3" s="3"/>
      <c r="G3" s="3"/>
    </row>
    <row r="4" spans="1:7">
      <c r="A4" s="2" t="s">
        <v>4</v>
      </c>
      <c r="B4" s="2"/>
      <c r="C4" s="4">
        <v>46382</v>
      </c>
    </row>
    <row r="5" spans="1:7">
      <c r="A5" s="2" t="s">
        <v>5</v>
      </c>
      <c r="B5" s="2"/>
      <c r="C5" s="3" t="s">
        <v>6</v>
      </c>
      <c r="D5" s="3"/>
      <c r="E5" s="3"/>
      <c r="F5" s="3"/>
      <c r="G5" s="3"/>
    </row>
    <row r="6" spans="1:7">
      <c r="A6" s="2" t="s">
        <v>7</v>
      </c>
      <c r="B6" s="2"/>
      <c r="C6" s="5">
        <v>200</v>
      </c>
    </row>
    <row r="7" spans="1:7">
      <c r="A7" s="2" t="s">
        <v>8</v>
      </c>
      <c r="B7" s="2"/>
      <c r="C7" s="6">
        <v>98.40000000000001</v>
      </c>
    </row>
    <row r="8" spans="1:7">
      <c r="A8" s="2" t="s">
        <v>9</v>
      </c>
      <c r="B8" s="2"/>
      <c r="C8" s="4">
        <v>46314</v>
      </c>
    </row>
    <row r="10" spans="1:7" ht="24" customHeight="1">
      <c r="A10" s="7" t="s">
        <v>11</v>
      </c>
      <c r="B10" s="7" t="s">
        <v>12</v>
      </c>
      <c r="C10" s="7" t="s">
        <v>13</v>
      </c>
      <c r="D10" s="7" t="s">
        <v>14</v>
      </c>
      <c r="E10" s="7" t="s">
        <v>15</v>
      </c>
      <c r="F10" s="7" t="s">
        <v>16</v>
      </c>
      <c r="G10" s="7" t="s">
        <v>17</v>
      </c>
    </row>
    <row r="11" spans="1:7">
      <c r="A11" s="8" t="s">
        <v>18</v>
      </c>
      <c r="B11" s="8" t="s">
        <v>5</v>
      </c>
      <c r="C11" s="8"/>
      <c r="D11" s="8"/>
      <c r="E11" s="8"/>
      <c r="F11" s="8"/>
      <c r="G11" s="8"/>
    </row>
    <row r="12" spans="1:7">
      <c r="A12" s="9" t="s">
        <v>19</v>
      </c>
      <c r="B12" s="10" t="s">
        <v>20</v>
      </c>
      <c r="C12" s="11" t="s">
        <v>21</v>
      </c>
      <c r="D12" s="12">
        <v>1</v>
      </c>
      <c r="E12" s="12">
        <v>330000</v>
      </c>
      <c r="F12" s="12">
        <f>D12*E12</f>
        <v>330000</v>
      </c>
      <c r="G12" s="13" t="s">
        <v>22</v>
      </c>
    </row>
    <row r="13" spans="1:7">
      <c r="A13" s="9" t="s">
        <v>23</v>
      </c>
      <c r="B13" s="10" t="s">
        <v>24</v>
      </c>
      <c r="C13" s="11" t="s">
        <v>21</v>
      </c>
      <c r="D13" s="12">
        <v>1</v>
      </c>
      <c r="E13" s="12">
        <v>58000</v>
      </c>
      <c r="F13" s="12">
        <f>D13*E13</f>
        <v>58000</v>
      </c>
      <c r="G13" s="13"/>
    </row>
    <row r="14" spans="1:7">
      <c r="A14" s="9" t="s">
        <v>25</v>
      </c>
      <c r="B14" s="10" t="s">
        <v>26</v>
      </c>
      <c r="C14" s="11" t="s">
        <v>27</v>
      </c>
      <c r="D14" s="12">
        <v>12</v>
      </c>
      <c r="E14" s="12">
        <v>6000</v>
      </c>
      <c r="F14" s="12">
        <f>D14*E14</f>
        <v>72000</v>
      </c>
      <c r="G14" s="13" t="s">
        <v>28</v>
      </c>
    </row>
    <row r="15" spans="1:7">
      <c r="A15" s="9" t="s">
        <v>29</v>
      </c>
      <c r="B15" s="10" t="s">
        <v>30</v>
      </c>
      <c r="C15" s="11" t="s">
        <v>31</v>
      </c>
      <c r="D15" s="12">
        <v>1</v>
      </c>
      <c r="E15" s="12">
        <v>52000</v>
      </c>
      <c r="F15" s="12">
        <f>D15*E15</f>
        <v>52000</v>
      </c>
      <c r="G15" s="13"/>
    </row>
    <row r="16" spans="1:7">
      <c r="A16" s="9" t="s">
        <v>32</v>
      </c>
      <c r="B16" s="10" t="s">
        <v>33</v>
      </c>
      <c r="C16" s="11" t="s">
        <v>31</v>
      </c>
      <c r="D16" s="12">
        <v>1</v>
      </c>
      <c r="E16" s="12">
        <v>36000</v>
      </c>
      <c r="F16" s="12">
        <f>D16*E16</f>
        <v>36000</v>
      </c>
      <c r="G16" s="13"/>
    </row>
    <row r="17" spans="1:7">
      <c r="A17" s="14"/>
      <c r="B17" s="14" t="s">
        <v>34</v>
      </c>
      <c r="C17" s="14"/>
      <c r="D17" s="14"/>
      <c r="E17" s="14"/>
      <c r="F17" s="15">
        <f>SUM(F12:F16)</f>
        <v>548000</v>
      </c>
      <c r="G17" s="14"/>
    </row>
    <row r="18" spans="1:7">
      <c r="A18" s="8" t="s">
        <v>35</v>
      </c>
      <c r="B18" s="8" t="s">
        <v>36</v>
      </c>
      <c r="C18" s="8"/>
      <c r="D18" s="8"/>
      <c r="E18" s="8"/>
      <c r="F18" s="8"/>
      <c r="G18" s="8"/>
    </row>
    <row r="19" spans="1:7">
      <c r="A19" s="9" t="s">
        <v>37</v>
      </c>
      <c r="B19" s="10" t="s">
        <v>38</v>
      </c>
      <c r="C19" s="11" t="s">
        <v>39</v>
      </c>
      <c r="D19" s="12">
        <f>$C$6</f>
        <v>200</v>
      </c>
      <c r="E19" s="12">
        <v>850</v>
      </c>
      <c r="F19" s="12">
        <f>D19*E19</f>
        <v>170000</v>
      </c>
      <c r="G19" s="13" t="s">
        <v>40</v>
      </c>
    </row>
    <row r="20" spans="1:7">
      <c r="A20" s="9" t="s">
        <v>41</v>
      </c>
      <c r="B20" s="10" t="s">
        <v>42</v>
      </c>
      <c r="C20" s="11" t="s">
        <v>39</v>
      </c>
      <c r="D20" s="12">
        <f>$C$6</f>
        <v>200</v>
      </c>
      <c r="E20" s="12">
        <v>3400</v>
      </c>
      <c r="F20" s="12">
        <f>D20*E20</f>
        <v>680000</v>
      </c>
      <c r="G20" s="13" t="s">
        <v>43</v>
      </c>
    </row>
    <row r="21" spans="1:7">
      <c r="A21" s="9" t="s">
        <v>44</v>
      </c>
      <c r="B21" s="10" t="s">
        <v>45</v>
      </c>
      <c r="C21" s="11" t="s">
        <v>39</v>
      </c>
      <c r="D21" s="12">
        <f>$C$6</f>
        <v>200</v>
      </c>
      <c r="E21" s="12">
        <v>480</v>
      </c>
      <c r="F21" s="12">
        <f>D21*E21</f>
        <v>96000</v>
      </c>
      <c r="G21" s="13"/>
    </row>
    <row r="22" spans="1:7">
      <c r="A22" s="9" t="s">
        <v>46</v>
      </c>
      <c r="B22" s="10" t="s">
        <v>47</v>
      </c>
      <c r="C22" s="11" t="s">
        <v>39</v>
      </c>
      <c r="D22" s="12">
        <f>$C$6</f>
        <v>200</v>
      </c>
      <c r="E22" s="12">
        <v>1300</v>
      </c>
      <c r="F22" s="12">
        <f>D22*E22</f>
        <v>260000</v>
      </c>
      <c r="G22" s="13" t="s">
        <v>48</v>
      </c>
    </row>
    <row r="23" spans="1:7">
      <c r="A23" s="9" t="s">
        <v>49</v>
      </c>
      <c r="B23" s="10" t="s">
        <v>50</v>
      </c>
      <c r="C23" s="11" t="s">
        <v>39</v>
      </c>
      <c r="D23" s="12">
        <f>$C$6</f>
        <v>200</v>
      </c>
      <c r="E23" s="12">
        <v>480</v>
      </c>
      <c r="F23" s="12">
        <f>D23*E23</f>
        <v>96000</v>
      </c>
      <c r="G23" s="13" t="s">
        <v>51</v>
      </c>
    </row>
    <row r="24" spans="1:7">
      <c r="A24" s="9" t="s">
        <v>52</v>
      </c>
      <c r="B24" s="10" t="s">
        <v>53</v>
      </c>
      <c r="C24" s="11" t="s">
        <v>54</v>
      </c>
      <c r="D24" s="12">
        <v>1</v>
      </c>
      <c r="E24" s="12">
        <v>125000</v>
      </c>
      <c r="F24" s="12">
        <f>D24*E24</f>
        <v>125000</v>
      </c>
      <c r="G24" s="13"/>
    </row>
    <row r="25" spans="1:7">
      <c r="A25" s="14"/>
      <c r="B25" s="14" t="s">
        <v>55</v>
      </c>
      <c r="C25" s="14"/>
      <c r="D25" s="14"/>
      <c r="E25" s="14"/>
      <c r="F25" s="15">
        <v>1402000</v>
      </c>
      <c r="G25" s="14"/>
    </row>
    <row r="26" spans="1:7">
      <c r="A26" s="8" t="s">
        <v>56</v>
      </c>
      <c r="B26" s="8" t="s">
        <v>57</v>
      </c>
      <c r="C26" s="8"/>
      <c r="D26" s="8"/>
      <c r="E26" s="8"/>
      <c r="F26" s="8"/>
      <c r="G26" s="8"/>
    </row>
    <row r="27" spans="1:7">
      <c r="A27" s="9" t="s">
        <v>58</v>
      </c>
      <c r="B27" s="10" t="s">
        <v>59</v>
      </c>
      <c r="C27" s="11" t="s">
        <v>54</v>
      </c>
      <c r="D27" s="12">
        <v>1</v>
      </c>
      <c r="E27" s="12">
        <v>130000</v>
      </c>
      <c r="F27" s="12">
        <f>D27*E27</f>
        <v>130000</v>
      </c>
      <c r="G27" s="13"/>
    </row>
    <row r="28" spans="1:7">
      <c r="A28" s="9" t="s">
        <v>60</v>
      </c>
      <c r="B28" s="10" t="s">
        <v>61</v>
      </c>
      <c r="C28" s="11" t="s">
        <v>54</v>
      </c>
      <c r="D28" s="12">
        <v>1</v>
      </c>
      <c r="E28" s="12">
        <v>145000</v>
      </c>
      <c r="F28" s="12">
        <f>D28*E28</f>
        <v>145000</v>
      </c>
      <c r="G28" s="13"/>
    </row>
    <row r="29" spans="1:7">
      <c r="A29" s="9" t="s">
        <v>62</v>
      </c>
      <c r="B29" s="10" t="s">
        <v>63</v>
      </c>
      <c r="C29" s="11" t="s">
        <v>54</v>
      </c>
      <c r="D29" s="12">
        <v>1</v>
      </c>
      <c r="E29" s="12">
        <v>95000</v>
      </c>
      <c r="F29" s="12">
        <f>D29*E29</f>
        <v>95000</v>
      </c>
      <c r="G29" s="13"/>
    </row>
    <row r="30" spans="1:7">
      <c r="A30" s="9" t="s">
        <v>64</v>
      </c>
      <c r="B30" s="10" t="s">
        <v>65</v>
      </c>
      <c r="C30" s="11" t="s">
        <v>66</v>
      </c>
      <c r="D30" s="12">
        <v>4</v>
      </c>
      <c r="E30" s="12">
        <v>15000</v>
      </c>
      <c r="F30" s="12">
        <f>D30*E30</f>
        <v>60000</v>
      </c>
      <c r="G30" s="13" t="s">
        <v>67</v>
      </c>
    </row>
    <row r="31" spans="1:7">
      <c r="A31" s="9" t="s">
        <v>68</v>
      </c>
      <c r="B31" s="10" t="s">
        <v>69</v>
      </c>
      <c r="C31" s="11" t="s">
        <v>54</v>
      </c>
      <c r="D31" s="12">
        <v>1</v>
      </c>
      <c r="E31" s="12">
        <v>135000</v>
      </c>
      <c r="F31" s="12">
        <f>D31*E31</f>
        <v>135000</v>
      </c>
      <c r="G31" s="13" t="s">
        <v>70</v>
      </c>
    </row>
    <row r="32" spans="1:7">
      <c r="A32" s="14"/>
      <c r="B32" s="14" t="s">
        <v>71</v>
      </c>
      <c r="C32" s="14"/>
      <c r="D32" s="14"/>
      <c r="E32" s="14"/>
      <c r="F32" s="15">
        <f>SUM(F27:F30)</f>
        <v>430000</v>
      </c>
      <c r="G32" s="14"/>
    </row>
    <row r="33" spans="1:7">
      <c r="A33" s="8" t="s">
        <v>72</v>
      </c>
      <c r="B33" s="8" t="s">
        <v>73</v>
      </c>
      <c r="C33" s="8"/>
      <c r="D33" s="8"/>
      <c r="E33" s="8"/>
      <c r="F33" s="8"/>
      <c r="G33" s="8"/>
    </row>
    <row r="34" spans="1:7">
      <c r="A34" s="9" t="s">
        <v>74</v>
      </c>
      <c r="B34" s="10" t="s">
        <v>75</v>
      </c>
      <c r="C34" s="11" t="s">
        <v>76</v>
      </c>
      <c r="D34" s="12">
        <v>1</v>
      </c>
      <c r="E34" s="16">
        <v>2800</v>
      </c>
      <c r="F34" s="12">
        <f>D34*E34</f>
        <v>2800</v>
      </c>
      <c r="G34" s="13" t="s">
        <v>77</v>
      </c>
    </row>
    <row r="35" spans="1:7">
      <c r="A35" s="9" t="s">
        <v>78</v>
      </c>
      <c r="B35" s="10" t="s">
        <v>79</v>
      </c>
      <c r="C35" s="11" t="s">
        <v>76</v>
      </c>
      <c r="D35" s="12">
        <v>1</v>
      </c>
      <c r="E35" s="12">
        <v>90000</v>
      </c>
      <c r="F35" s="12">
        <f>D35*E35</f>
        <v>90000</v>
      </c>
      <c r="G35" s="13" t="s">
        <v>80</v>
      </c>
    </row>
    <row r="36" spans="1:7">
      <c r="A36" s="9" t="s">
        <v>81</v>
      </c>
      <c r="B36" s="10" t="s">
        <v>82</v>
      </c>
      <c r="C36" s="11" t="s">
        <v>76</v>
      </c>
      <c r="D36" s="12">
        <v>1</v>
      </c>
      <c r="E36" s="12">
        <v>70000</v>
      </c>
      <c r="F36" s="12">
        <f>D36*E36</f>
        <v>70000</v>
      </c>
      <c r="G36" s="13" t="s">
        <v>83</v>
      </c>
    </row>
    <row r="37" spans="1:7">
      <c r="A37" s="9" t="s">
        <v>84</v>
      </c>
      <c r="B37" s="10" t="s">
        <v>85</v>
      </c>
      <c r="C37" s="11" t="s">
        <v>86</v>
      </c>
      <c r="D37" s="12">
        <v>1</v>
      </c>
      <c r="E37" s="12">
        <v>140000</v>
      </c>
      <c r="F37" s="12">
        <f>D37*E37</f>
        <v>140000</v>
      </c>
      <c r="G37" s="13" t="s">
        <v>87</v>
      </c>
    </row>
    <row r="38" spans="1:7">
      <c r="A38" s="9" t="s">
        <v>88</v>
      </c>
      <c r="B38" s="10" t="s">
        <v>89</v>
      </c>
      <c r="C38" s="11" t="s">
        <v>66</v>
      </c>
      <c r="D38" s="12">
        <v>4</v>
      </c>
      <c r="E38" s="12">
        <v>12000</v>
      </c>
      <c r="F38" s="12">
        <f>D38*E38</f>
        <v>48000</v>
      </c>
      <c r="G38" s="13"/>
    </row>
    <row r="39" spans="1:7">
      <c r="A39" s="14"/>
      <c r="B39" s="14" t="s">
        <v>90</v>
      </c>
      <c r="C39" s="14"/>
      <c r="D39" s="14"/>
      <c r="E39" s="14"/>
      <c r="F39" s="15">
        <f>SUM(F34:F38)</f>
        <v>350800</v>
      </c>
      <c r="G39" s="14"/>
    </row>
    <row r="40" spans="1:7">
      <c r="A40" s="8" t="s">
        <v>91</v>
      </c>
      <c r="B40" s="8" t="s">
        <v>92</v>
      </c>
      <c r="C40" s="8"/>
      <c r="D40" s="8"/>
      <c r="E40" s="8"/>
      <c r="F40" s="8"/>
      <c r="G40" s="8"/>
    </row>
    <row r="41" spans="1:7">
      <c r="A41" s="9" t="s">
        <v>93</v>
      </c>
      <c r="B41" s="10" t="s">
        <v>94</v>
      </c>
      <c r="C41" s="11" t="s">
        <v>54</v>
      </c>
      <c r="D41" s="12">
        <v>1</v>
      </c>
      <c r="E41" s="12">
        <v>175000</v>
      </c>
      <c r="F41" s="12">
        <f>D41*E41</f>
        <v>175000</v>
      </c>
      <c r="G41" s="13" t="s">
        <v>95</v>
      </c>
    </row>
    <row r="42" spans="1:7">
      <c r="A42" s="9" t="s">
        <v>96</v>
      </c>
      <c r="B42" s="10" t="s">
        <v>97</v>
      </c>
      <c r="C42" s="11" t="s">
        <v>98</v>
      </c>
      <c r="D42" s="12">
        <v>1</v>
      </c>
      <c r="E42" s="12">
        <v>58000</v>
      </c>
      <c r="F42" s="12">
        <f>D42*E42</f>
        <v>58000</v>
      </c>
      <c r="G42" s="13"/>
    </row>
    <row r="43" spans="1:7">
      <c r="A43" s="9" t="s">
        <v>99</v>
      </c>
      <c r="B43" s="10" t="s">
        <v>100</v>
      </c>
      <c r="C43" s="11" t="s">
        <v>101</v>
      </c>
      <c r="D43" s="12">
        <f>ROUNDUP($C$6/10,0)</f>
        <v>20.0</v>
      </c>
      <c r="E43" s="12">
        <v>3600</v>
      </c>
      <c r="F43" s="12">
        <f>D43*E43</f>
        <v>72000.0</v>
      </c>
      <c r="G43" s="13" t="s">
        <v>102</v>
      </c>
    </row>
    <row r="44" spans="1:7">
      <c r="A44" s="14"/>
      <c r="B44" s="14" t="s">
        <v>103</v>
      </c>
      <c r="C44" s="14"/>
      <c r="D44" s="14"/>
      <c r="E44" s="14"/>
      <c r="F44" s="15">
        <f>SUM(F41:F43)</f>
        <v>305000.0</v>
      </c>
      <c r="G44" s="14"/>
    </row>
    <row r="45" spans="1:7">
      <c r="A45" s="8" t="s">
        <v>104</v>
      </c>
      <c r="B45" s="8" t="s">
        <v>105</v>
      </c>
      <c r="C45" s="8"/>
      <c r="D45" s="8"/>
      <c r="E45" s="8"/>
      <c r="F45" s="8"/>
      <c r="G45" s="8"/>
    </row>
    <row r="46" spans="1:7">
      <c r="A46" s="9" t="s">
        <v>106</v>
      </c>
      <c r="B46" s="10" t="s">
        <v>107</v>
      </c>
      <c r="C46" s="11" t="s">
        <v>108</v>
      </c>
      <c r="D46" s="12">
        <v>150</v>
      </c>
      <c r="E46" s="12">
        <v>1350</v>
      </c>
      <c r="F46" s="12">
        <f>D46*E46</f>
        <v>202500</v>
      </c>
      <c r="G46" s="13" t="s">
        <v>109</v>
      </c>
    </row>
    <row r="47" spans="1:7">
      <c r="A47" s="9" t="s">
        <v>110</v>
      </c>
      <c r="B47" s="10" t="s">
        <v>111</v>
      </c>
      <c r="C47" s="11" t="s">
        <v>39</v>
      </c>
      <c r="D47" s="12">
        <v>4</v>
      </c>
      <c r="E47" s="12">
        <v>3500</v>
      </c>
      <c r="F47" s="12">
        <f>D47*E47</f>
        <v>14000</v>
      </c>
      <c r="G47" s="13"/>
    </row>
    <row r="48" spans="1:7">
      <c r="A48" s="9" t="s">
        <v>112</v>
      </c>
      <c r="B48" s="10" t="s">
        <v>113</v>
      </c>
      <c r="C48" s="11" t="s">
        <v>31</v>
      </c>
      <c r="D48" s="12">
        <v>1</v>
      </c>
      <c r="E48" s="12">
        <v>18000</v>
      </c>
      <c r="F48" s="12">
        <f>D48*E48</f>
        <v>18000</v>
      </c>
      <c r="G48" s="13"/>
    </row>
    <row r="49" spans="1:7">
      <c r="A49" s="14"/>
      <c r="B49" s="14" t="s">
        <v>114</v>
      </c>
      <c r="C49" s="14"/>
      <c r="D49" s="14"/>
      <c r="E49" s="14"/>
      <c r="F49" s="15">
        <f>SUM(F46:F48)</f>
        <v>234500</v>
      </c>
      <c r="G49" s="14"/>
    </row>
    <row r="50" spans="1:7">
      <c r="A50" s="8" t="s">
        <v>115</v>
      </c>
      <c r="B50" s="8" t="s">
        <v>116</v>
      </c>
      <c r="C50" s="8"/>
      <c r="D50" s="8"/>
      <c r="E50" s="8"/>
      <c r="F50" s="8"/>
      <c r="G50" s="8"/>
    </row>
    <row r="51" spans="1:7">
      <c r="A51" s="9" t="s">
        <v>117</v>
      </c>
      <c r="B51" s="10" t="s">
        <v>118</v>
      </c>
      <c r="C51" s="11" t="s">
        <v>66</v>
      </c>
      <c r="D51" s="12">
        <v>6</v>
      </c>
      <c r="E51" s="12">
        <v>6500</v>
      </c>
      <c r="F51" s="12">
        <f>D51*E51</f>
        <v>39000</v>
      </c>
      <c r="G51" s="13"/>
    </row>
    <row r="52" spans="1:7">
      <c r="A52" s="9" t="s">
        <v>119</v>
      </c>
      <c r="B52" s="10" t="s">
        <v>120</v>
      </c>
      <c r="C52" s="11" t="s">
        <v>66</v>
      </c>
      <c r="D52" s="12">
        <v>2</v>
      </c>
      <c r="E52" s="12">
        <v>14000</v>
      </c>
      <c r="F52" s="12">
        <f>D52*E52</f>
        <v>28000</v>
      </c>
      <c r="G52" s="13"/>
    </row>
    <row r="53" spans="1:7">
      <c r="A53" s="9" t="s">
        <v>121</v>
      </c>
      <c r="B53" s="10" t="s">
        <v>122</v>
      </c>
      <c r="C53" s="11" t="s">
        <v>54</v>
      </c>
      <c r="D53" s="12">
        <v>1</v>
      </c>
      <c r="E53" s="12">
        <v>78000</v>
      </c>
      <c r="F53" s="12">
        <f>D53*E53</f>
        <v>78000</v>
      </c>
      <c r="G53" s="13" t="s">
        <v>123</v>
      </c>
    </row>
    <row r="54" spans="1:7">
      <c r="A54" s="9" t="s">
        <v>124</v>
      </c>
      <c r="B54" s="10" t="s">
        <v>125</v>
      </c>
      <c r="C54" s="11" t="s">
        <v>66</v>
      </c>
      <c r="D54" s="12">
        <v>2</v>
      </c>
      <c r="E54" s="12">
        <v>12000</v>
      </c>
      <c r="F54" s="12">
        <f>D54*E54</f>
        <v>24000</v>
      </c>
      <c r="G54" s="13"/>
    </row>
    <row r="55" spans="1:7">
      <c r="A55" s="14"/>
      <c r="B55" s="14" t="s">
        <v>126</v>
      </c>
      <c r="C55" s="14"/>
      <c r="D55" s="14"/>
      <c r="E55" s="14"/>
      <c r="F55" s="15">
        <f>SUM(F51:F54)</f>
        <v>169000</v>
      </c>
      <c r="G55" s="14"/>
    </row>
    <row r="56" spans="1:7">
      <c r="A56" s="8" t="s">
        <v>127</v>
      </c>
      <c r="B56" s="8" t="s">
        <v>128</v>
      </c>
      <c r="C56" s="8"/>
      <c r="D56" s="8"/>
      <c r="E56" s="8"/>
      <c r="F56" s="8"/>
      <c r="G56" s="8"/>
    </row>
    <row r="57" spans="1:7">
      <c r="A57" s="9" t="s">
        <v>129</v>
      </c>
      <c r="B57" s="10" t="s">
        <v>130</v>
      </c>
      <c r="C57" s="11" t="s">
        <v>98</v>
      </c>
      <c r="D57" s="12">
        <f>$C$6</f>
        <v>200</v>
      </c>
      <c r="E57" s="12">
        <v>130</v>
      </c>
      <c r="F57" s="12">
        <f>D57*E57</f>
        <v>26000</v>
      </c>
      <c r="G57" s="13"/>
    </row>
    <row r="58" spans="1:7">
      <c r="A58" s="9" t="s">
        <v>131</v>
      </c>
      <c r="B58" s="10" t="s">
        <v>132</v>
      </c>
      <c r="C58" s="11" t="s">
        <v>54</v>
      </c>
      <c r="D58" s="12">
        <v>1</v>
      </c>
      <c r="E58" s="12">
        <v>42000</v>
      </c>
      <c r="F58" s="12">
        <f>D58*E58</f>
        <v>42000</v>
      </c>
      <c r="G58" s="13"/>
    </row>
    <row r="59" spans="1:7">
      <c r="A59" s="9" t="s">
        <v>133</v>
      </c>
      <c r="B59" s="10" t="s">
        <v>134</v>
      </c>
      <c r="C59" s="11" t="s">
        <v>98</v>
      </c>
      <c r="D59" s="12">
        <f>$C$6</f>
        <v>200</v>
      </c>
      <c r="E59" s="12">
        <v>60</v>
      </c>
      <c r="F59" s="12">
        <f>D59*E59</f>
        <v>12000</v>
      </c>
      <c r="G59" s="13"/>
    </row>
    <row r="60" spans="1:7">
      <c r="A60" s="14"/>
      <c r="B60" s="14" t="s">
        <v>135</v>
      </c>
      <c r="C60" s="14"/>
      <c r="D60" s="14"/>
      <c r="E60" s="14"/>
      <c r="F60" s="15">
        <f>SUM(F57:F59)</f>
        <v>80000</v>
      </c>
      <c r="G60" s="14"/>
    </row>
    <row r="61" spans="1:7">
      <c r="A61" s="8" t="s">
        <v>136</v>
      </c>
      <c r="B61" s="8" t="s">
        <v>137</v>
      </c>
      <c r="C61" s="8"/>
      <c r="D61" s="8"/>
      <c r="E61" s="8"/>
      <c r="F61" s="8"/>
      <c r="G61" s="8"/>
    </row>
    <row r="62" spans="1:7">
      <c r="A62" s="9" t="s">
        <v>138</v>
      </c>
      <c r="B62" s="10" t="s">
        <v>139</v>
      </c>
      <c r="C62" s="11" t="s">
        <v>31</v>
      </c>
      <c r="D62" s="12">
        <v>1</v>
      </c>
      <c r="E62" s="12">
        <f>F17+F25+F32+F39+F44+F49+F55+F60</f>
        <v>3519300.0</v>
      </c>
      <c r="F62" s="12">
        <f>D62*E62</f>
        <v>3519300.0</v>
      </c>
      <c r="G62" s="13" t="s">
        <v>140</v>
      </c>
    </row>
    <row r="63" spans="1:7">
      <c r="A63" s="9" t="s">
        <v>141</v>
      </c>
      <c r="B63" s="10" t="s">
        <v>142</v>
      </c>
      <c r="C63" s="11" t="s">
        <v>143</v>
      </c>
      <c r="D63" s="17">
        <v>0.12</v>
      </c>
      <c r="E63" s="12">
        <f>F62</f>
        <v>3519300.0</v>
      </c>
      <c r="F63" s="12">
        <f>ROUND(D63*E63*1.2,0)</f>
        <v>506779.0</v>
      </c>
      <c r="G63" s="13" t="s">
        <v>144</v>
      </c>
    </row>
    <row r="64" spans="1:7">
      <c r="A64" s="9" t="s">
        <v>145</v>
      </c>
      <c r="B64" s="10" t="s">
        <v>146</v>
      </c>
      <c r="C64" s="11" t="s">
        <v>147</v>
      </c>
      <c r="D64" s="17">
        <v>0.2</v>
      </c>
      <c r="E64" s="12">
        <f>F62+F63</f>
        <v>4026079.0</v>
      </c>
      <c r="F64" s="12">
        <f>ROUND(D64*E64,0)</f>
        <v>805216.0</v>
      </c>
      <c r="G64" s="13" t="s">
        <v>148</v>
      </c>
    </row>
    <row r="65" spans="1:7">
      <c r="A65" s="18"/>
      <c r="B65" s="18" t="s">
        <v>149</v>
      </c>
      <c r="C65" s="18"/>
      <c r="D65" s="18"/>
      <c r="E65" s="18"/>
      <c r="F65" s="19">
        <f>F62+F63+F64</f>
        <v>4831295.0</v>
      </c>
      <c r="G65" s="18"/>
    </row>
    <row r="66" spans="1:7">
      <c r="B66" s="10" t="s">
        <v>150</v>
      </c>
      <c r="C66" s="11" t="s">
        <v>151</v>
      </c>
      <c r="F66" s="12">
        <f>ROUND(F65/$C$6,0)</f>
        <v>24156.0</v>
      </c>
    </row>
    <row r="67" spans="1:7">
      <c r="B67" s="10" t="s">
        <v>152</v>
      </c>
      <c r="F67" s="12">
        <v>5000000</v>
      </c>
      <c r="G67" s="13" t="s">
        <v>153</v>
      </c>
    </row>
    <row r="68" spans="1:7">
      <c r="B68" s="10" t="s">
        <v>154</v>
      </c>
      <c r="F68" s="12">
        <f>F67-F65</f>
        <v>168705.0</v>
      </c>
    </row>
  </sheetData>
  <mergeCells count="11">
    <mergeCell ref="A2:B2"/>
    <mergeCell ref="C2:G2"/>
    <mergeCell ref="A3:B3"/>
    <mergeCell ref="C3:G3"/>
    <mergeCell ref="A4:B4"/>
    <mergeCell ref="A5:B5"/>
    <mergeCell ref="C5:G5"/>
    <mergeCell ref="A6:B6"/>
    <mergeCell ref="A7:B7"/>
    <mergeCell ref="A8:B8"/>
    <mergeCell ref="A1:G1"/>
  </mergeCells>
  <pageMargins left="0.7" right="0.7" top="0.75" bottom="0.75" header="0.3" footer="0.3"/>
  <pageSetup paperSize="9" fitToHeight="0" orientation="landscape"/>
  <headerFooter>
    <oddFooter>&amp;L&amp;8Учебная смета, данные вымышлены&amp;R&amp;8Стр.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Смета</vt:lpstr>
      <vt:lpstr>Смета!Print_Titles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Смета: Новогодний корпоратив «Полярная ночь», 200 участников</dc:title>
  <dc:creator>Продюсерская группа</dc:creator>
  <dc:description>Учебные данные, все названия вымышлены</dc:description>
  <cp:lastModifiedBy>Продюсерская группа</cp:lastModifiedBy>
  <dcterms:created xsi:type="dcterms:W3CDTF">2026-10-26T10:15:26Z</dcterms:created>
  <dcterms:modified xsi:type="dcterms:W3CDTF">2026-10-26T10:15:26Z</dcterms:modified>
</cp:coreProperties>
</file>